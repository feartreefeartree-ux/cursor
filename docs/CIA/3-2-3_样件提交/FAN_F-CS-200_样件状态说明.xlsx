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封面与说明" sheetId="1" state="visible" r:id="rId1"/>
    <sheet xmlns:r="http://schemas.openxmlformats.org/officeDocument/2006/relationships" name="01-样件清单" sheetId="2" state="visible" r:id="rId2"/>
    <sheet xmlns:r="http://schemas.openxmlformats.org/officeDocument/2006/relationships" name="02-软硬件基线" sheetId="3" state="visible" r:id="rId3"/>
    <sheet xmlns:r="http://schemas.openxmlformats.org/officeDocument/2006/relationships" name="03-连续生产状态检查" sheetId="4" state="visible" r:id="rId4"/>
    <sheet xmlns:r="http://schemas.openxmlformats.org/officeDocument/2006/relationships" name="04-UDS白名单" sheetId="5" state="visible" r:id="rId5"/>
    <sheet xmlns:r="http://schemas.openxmlformats.org/officeDocument/2006/relationships" name="05-TARA保护" sheetId="6" state="visible" r:id="rId6"/>
    <sheet xmlns:r="http://schemas.openxmlformats.org/officeDocument/2006/relationships" name="06-与4-1区分" sheetId="7" state="visible" r:id="rId7"/>
    <sheet xmlns:r="http://schemas.openxmlformats.org/officeDocument/2006/relationships" name="07-连接参数" sheetId="8" state="visible" r:id="rId8"/>
    <sheet xmlns:r="http://schemas.openxmlformats.org/officeDocument/2006/relationships" name="08-随附资料" sheetId="9" state="visible" r:id="rId9"/>
    <sheet xmlns:r="http://schemas.openxmlformats.org/officeDocument/2006/relationships" name="09-声明与签署" sheetId="10" state="visible" r:id="rId10"/>
  </sheets>
  <definedNames>
    <definedName name="_xlnm._FilterDatabase" localSheetId="0" hidden="1">'00-封面与说明'!$A$17:$C$17</definedName>
    <definedName name="_xlnm._FilterDatabase" localSheetId="1" hidden="1">'01-样件清单'!$A$3:$H$3</definedName>
    <definedName name="_xlnm._FilterDatabase" localSheetId="2" hidden="1">'02-软硬件基线'!$A$3:$C$3</definedName>
    <definedName name="_xlnm._FilterDatabase" localSheetId="3" hidden="1">'03-连续生产状态检查'!$A$3:$E$3</definedName>
    <definedName name="_xlnm._FilterDatabase" localSheetId="4" hidden="1">'04-UDS白名单'!$A$3:$E$3</definedName>
    <definedName name="_xlnm._FilterDatabase" localSheetId="5" hidden="1">'05-TARA保护'!$A$3:$F$3</definedName>
    <definedName name="_xlnm._FilterDatabase" localSheetId="6" hidden="1">'06-与4-1区分'!$A$3:$C$3</definedName>
    <definedName name="_xlnm._FilterDatabase" localSheetId="7" hidden="1">'07-连接参数'!$A$3:$C$3</definedName>
    <definedName name="_xlnm._FilterDatabase" localSheetId="8" hidden="1">'08-随附资料'!$A$3:$D$3</definedName>
    <definedName name="_xlnm._FilterDatabase" localSheetId="9" hidden="1">'09-声明与签署'!$A$7:$D$7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666666"/>
      <sz val="10"/>
    </font>
    <font>
      <name val="微软雅黑"/>
      <b val="1"/>
      <color rgb="00FFFFFF"/>
      <sz val="9"/>
    </font>
    <font>
      <name val="微软雅黑"/>
      <sz val="9"/>
    </font>
    <font>
      <name val="微软雅黑"/>
      <b val="1"/>
      <color rgb="001F4E79"/>
      <sz val="9"/>
    </font>
    <font>
      <name val="微软雅黑"/>
      <b val="1"/>
      <color rgb="001F4E79"/>
      <sz val="11"/>
    </font>
    <font>
      <name val="微软雅黑"/>
      <color rgb="000563C1"/>
      <sz val="9"/>
      <u val="single"/>
    </font>
    <font>
      <name val="微软雅黑"/>
      <i val="1"/>
      <color rgb="00808080"/>
      <sz val="8"/>
    </font>
    <font>
      <name val="微软雅黑"/>
      <b val="1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F5F8F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9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01-&#26679;&#20214;&#28165;&#21333;!A1" TargetMode="External" Id="rId1"/><Relationship Type="http://schemas.openxmlformats.org/officeDocument/2006/relationships/hyperlink" Target="#02-&#36719;&#30828;&#20214;&#22522;&#32447;!A1" TargetMode="External" Id="rId2"/><Relationship Type="http://schemas.openxmlformats.org/officeDocument/2006/relationships/hyperlink" Target="#03-&#36830;&#32493;&#29983;&#20135;&#29366;&#24577;&#26816;&#26597;!A1" TargetMode="External" Id="rId3"/><Relationship Type="http://schemas.openxmlformats.org/officeDocument/2006/relationships/hyperlink" Target="#04-UDS&#30333;&#21517;&#21333;!A1" TargetMode="External" Id="rId4"/><Relationship Type="http://schemas.openxmlformats.org/officeDocument/2006/relationships/hyperlink" Target="#05-TARA&#20445;&#25252;!A1" TargetMode="External" Id="rId5"/><Relationship Type="http://schemas.openxmlformats.org/officeDocument/2006/relationships/hyperlink" Target="#06-&#19982;4-1&#21306;&#20998;!A1" TargetMode="External" Id="rId6"/><Relationship Type="http://schemas.openxmlformats.org/officeDocument/2006/relationships/hyperlink" Target="#07-&#36830;&#25509;&#21442;&#25968;!A1" TargetMode="External" Id="rId7"/><Relationship Type="http://schemas.openxmlformats.org/officeDocument/2006/relationships/hyperlink" Target="#08-&#38543;&#38468;&#36164;&#26009;!A1" TargetMode="External" Id="rId8"/><Relationship Type="http://schemas.openxmlformats.org/officeDocument/2006/relationships/hyperlink" Target="#09-&#22768;&#26126;&#19982;&#31614;&#32626;!A1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28" customWidth="1" min="3" max="3"/>
  </cols>
  <sheetData>
    <row r="1" ht="28" customHeight="1">
      <c r="A1" s="1" t="inlineStr">
        <is>
          <t>FAN_F 高压风扇控制器  ·  样件状态说明</t>
        </is>
      </c>
    </row>
    <row r="2">
      <c r="A2" s="2" t="inlineStr">
        <is>
          <t>CIA CS100120-045C 条款 3-2-3 样件提交  |  连续生产状态检查表  |  密级：内部</t>
        </is>
      </c>
    </row>
    <row r="4" ht="28" customHeight="1">
      <c r="A4" s="3" t="inlineStr">
        <is>
          <t>项目</t>
        </is>
      </c>
      <c r="B4" s="3" t="inlineStr">
        <is>
          <t>填写（黄色单元格）</t>
        </is>
      </c>
      <c r="C4" s="3" t="inlineStr">
        <is>
          <t>备注</t>
        </is>
      </c>
    </row>
    <row r="5" ht="22" customHeight="1">
      <c r="A5" s="4" t="inlineStr">
        <is>
          <t>文件编号</t>
        </is>
      </c>
      <c r="B5" s="5" t="inlineStr">
        <is>
          <t>FAN_F-CS-200</t>
        </is>
      </c>
      <c r="C5" s="5" t="inlineStr">
        <is>
          <t>勿改</t>
        </is>
      </c>
    </row>
    <row r="6" ht="22" customHeight="1">
      <c r="A6" s="4" t="inlineStr">
        <is>
          <t>版本</t>
        </is>
      </c>
      <c r="B6" s="5" t="inlineStr">
        <is>
          <t>V2.0（Excel 表格版）</t>
        </is>
      </c>
      <c r="C6" s="5" t="inlineStr">
        <is>
          <t>勿改</t>
        </is>
      </c>
    </row>
    <row r="7" ht="22" customHeight="1">
      <c r="A7" s="4" t="inlineStr">
        <is>
          <t>产品</t>
        </is>
      </c>
      <c r="B7" s="5" t="inlineStr">
        <is>
          <t>FAN_F 高压风扇控制器    MCU：S32K144W</t>
        </is>
      </c>
      <c r="C7" s="5" t="inlineStr"/>
    </row>
    <row r="8" ht="22" customHeight="1">
      <c r="A8" s="4" t="inlineStr">
        <is>
          <t>关联协议</t>
        </is>
      </c>
      <c r="B8" s="5" t="inlineStr">
        <is>
          <t>CIA CS100120-045C 条款 3-2-3</t>
        </is>
      </c>
      <c r="C8" s="5" t="inlineStr"/>
    </row>
    <row r="9" ht="22" customHeight="1">
      <c r="A9" s="4" t="inlineStr">
        <is>
          <t>样件用途</t>
        </is>
      </c>
      <c r="B9" s="5" t="inlineStr">
        <is>
          <t>福田安全评估；本批=连续生产状态（全锁），不含 4-1 临时开门样件</t>
        </is>
      </c>
      <c r="C9" s="5" t="inlineStr"/>
    </row>
    <row r="10" ht="22" customHeight="1">
      <c r="A10" s="4" t="inlineStr">
        <is>
          <t>本批数量</t>
        </is>
      </c>
      <c r="B10" s="6" t="n">
        <v>2</v>
      </c>
      <c r="C10" s="5" t="inlineStr">
        <is>
          <t>件，编号规则 FAN_F-S-xxx</t>
        </is>
      </c>
    </row>
    <row r="11" ht="22" customHeight="1">
      <c r="A11" s="4" t="inlineStr">
        <is>
          <t>编制 / 日期</t>
        </is>
      </c>
      <c r="B11" s="6" t="inlineStr"/>
      <c r="C11" s="5" t="inlineStr">
        <is>
          <t>姓名 / YYYY-MM-DD</t>
        </is>
      </c>
    </row>
    <row r="12" ht="22" customHeight="1">
      <c r="A12" s="4" t="inlineStr">
        <is>
          <t>审核 / 日期</t>
        </is>
      </c>
      <c r="B12" s="6" t="inlineStr"/>
      <c r="C12" s="5" t="inlineStr">
        <is>
          <t>项目网络安全工程师 / 日期</t>
        </is>
      </c>
    </row>
    <row r="13" ht="22" customHeight="1">
      <c r="A13" s="4" t="inlineStr">
        <is>
          <t>批准 / 日期</t>
        </is>
      </c>
      <c r="B13" s="6" t="inlineStr"/>
      <c r="C13" s="5" t="inlineStr">
        <is>
          <t>研发经理 / 日期</t>
        </is>
      </c>
    </row>
    <row r="14" ht="22" customHeight="1">
      <c r="A14" s="4" t="inlineStr">
        <is>
          <t>供应商公司名称</t>
        </is>
      </c>
      <c r="B14" s="6" t="inlineStr"/>
      <c r="C14" s="5" t="inlineStr">
        <is>
          <t>与 CIA 落款一致</t>
        </is>
      </c>
    </row>
    <row r="16">
      <c r="A16" s="7" t="inlineStr">
        <is>
          <t>工作表导航（点名称进入）</t>
        </is>
      </c>
    </row>
    <row r="17" ht="28" customHeight="1">
      <c r="A17" s="3" t="inlineStr">
        <is>
          <t>工作表</t>
        </is>
      </c>
      <c r="B17" s="3" t="inlineStr">
        <is>
          <t>内容</t>
        </is>
      </c>
      <c r="C17" s="3" t="inlineStr">
        <is>
          <t>状态</t>
        </is>
      </c>
    </row>
    <row r="18" ht="22" customHeight="1">
      <c r="A18" s="8" t="inlineStr">
        <is>
          <t>01-样件清单</t>
        </is>
      </c>
      <c r="B18" s="5" t="inlineStr">
        <is>
          <t>表2  每行一件样件</t>
        </is>
      </c>
      <c r="C18" s="6" t="inlineStr">
        <is>
          <t>待填</t>
        </is>
      </c>
    </row>
    <row r="19" ht="22" customHeight="1">
      <c r="A19" s="8" t="inlineStr">
        <is>
          <t>02-软硬件基线</t>
        </is>
      </c>
      <c r="B19" s="5" t="inlineStr">
        <is>
          <t>表3  版本 / 工具链 / 发布包</t>
        </is>
      </c>
      <c r="C19" s="6" t="inlineStr">
        <is>
          <t>待填</t>
        </is>
      </c>
    </row>
    <row r="20" ht="22" customHeight="1">
      <c r="A20" s="8" t="inlineStr">
        <is>
          <t>03-连续生产状态检查</t>
        </is>
      </c>
      <c r="B20" s="5" t="inlineStr">
        <is>
          <t>表4  本条款核心，有一项“否”则不得提交</t>
        </is>
      </c>
      <c r="C20" s="6" t="inlineStr">
        <is>
          <t>待填</t>
        </is>
      </c>
    </row>
    <row r="21" ht="22" customHeight="1">
      <c r="A21" s="8" t="inlineStr">
        <is>
          <t>04-UDS白名单</t>
        </is>
      </c>
      <c r="B21" s="5" t="inlineStr">
        <is>
          <t>表5  服务开启/关闭及是否需 0x27</t>
        </is>
      </c>
      <c r="C21" s="6" t="inlineStr">
        <is>
          <t>待填</t>
        </is>
      </c>
    </row>
    <row r="22" ht="22" customHeight="1">
      <c r="A22" s="8" t="inlineStr">
        <is>
          <t>05-TARA保护</t>
        </is>
      </c>
      <c r="B22" s="5" t="inlineStr">
        <is>
          <t>表6  中高风险资产保护状态</t>
        </is>
      </c>
      <c r="C22" s="6" t="inlineStr">
        <is>
          <t>待填</t>
        </is>
      </c>
    </row>
    <row r="23" ht="22" customHeight="1">
      <c r="A23" s="8" t="inlineStr">
        <is>
          <t>06-与4-1区分</t>
        </is>
      </c>
      <c r="B23" s="5" t="inlineStr">
        <is>
          <t>表7  评估样件 vs 渗透测试样件</t>
        </is>
      </c>
      <c r="C23" s="6" t="inlineStr">
        <is>
          <t>待填</t>
        </is>
      </c>
    </row>
    <row r="24" ht="22" customHeight="1">
      <c r="A24" s="8" t="inlineStr">
        <is>
          <t>07-连接参数</t>
        </is>
      </c>
      <c r="B24" s="5" t="inlineStr">
        <is>
          <t>表8  供电 / CAN / 诊断</t>
        </is>
      </c>
      <c r="C24" s="6" t="inlineStr">
        <is>
          <t>待填</t>
        </is>
      </c>
    </row>
    <row r="25" ht="22" customHeight="1">
      <c r="A25" s="8" t="inlineStr">
        <is>
          <t>08-随附资料</t>
        </is>
      </c>
      <c r="B25" s="5" t="inlineStr">
        <is>
          <t>表9  随样件一起交的文件</t>
        </is>
      </c>
      <c r="C25" s="6" t="inlineStr">
        <is>
          <t>待填</t>
        </is>
      </c>
    </row>
    <row r="26" ht="22" customHeight="1">
      <c r="A26" s="8" t="inlineStr">
        <is>
          <t>09-声明与签署</t>
        </is>
      </c>
      <c r="B26" s="5" t="inlineStr">
        <is>
          <t>表10 声明 + 签字</t>
        </is>
      </c>
      <c r="C26" s="6" t="inlineStr">
        <is>
          <t>待填</t>
        </is>
      </c>
    </row>
    <row r="28" ht="36" customHeight="1">
      <c r="A28" s="9" t="inlineStr">
        <is>
          <t>填写说明：1）只改黄色单元格，深蓝色表头不要改。2）下拉单元格从列表选择，不要手写“是/否”。3）表4任一项为“否”，本批不能作为 3-2-3 评估样件。4）正式交付前删除本说明中的示例行（如需要）。5）按 CIA 8-3，对外交付可另附英文对照；本表以中文填写为准。</t>
        </is>
      </c>
    </row>
    <row r="29" ht="8" customHeight="1"/>
    <row r="30" ht="8" customHeight="1"/>
  </sheetData>
  <autoFilter ref="A17:C17"/>
  <mergeCells count="4">
    <mergeCell ref="A1:C1"/>
    <mergeCell ref="A16:C16"/>
    <mergeCell ref="A28:C30"/>
    <mergeCell ref="A2:C2"/>
  </mergeCells>
  <hyperlinks>
    <hyperlink xmlns:r="http://schemas.openxmlformats.org/officeDocument/2006/relationships" ref="A18" r:id="rId1"/>
    <hyperlink xmlns:r="http://schemas.openxmlformats.org/officeDocument/2006/relationships" ref="A19" r:id="rId2"/>
    <hyperlink xmlns:r="http://schemas.openxmlformats.org/officeDocument/2006/relationships" ref="A20" r:id="rId3"/>
    <hyperlink xmlns:r="http://schemas.openxmlformats.org/officeDocument/2006/relationships" ref="A21" r:id="rId4"/>
    <hyperlink xmlns:r="http://schemas.openxmlformats.org/officeDocument/2006/relationships" ref="A22" r:id="rId5"/>
    <hyperlink xmlns:r="http://schemas.openxmlformats.org/officeDocument/2006/relationships" ref="A23" r:id="rId6"/>
    <hyperlink xmlns:r="http://schemas.openxmlformats.org/officeDocument/2006/relationships" ref="A24" r:id="rId7"/>
    <hyperlink xmlns:r="http://schemas.openxmlformats.org/officeDocument/2006/relationships" ref="A25" r:id="rId8"/>
    <hyperlink xmlns:r="http://schemas.openxmlformats.org/officeDocument/2006/relationships" ref="A26" r:id="rId9"/>
  </hyperlinks>
  <pageMargins left="0.5" right="0.5" top="0.6" bottom="0.6" header="0.25" footer="0.25"/>
  <pageSetup orientation="portrait" paperSize="9" fitToHeight="0" fitToWidth="1"/>
  <headerFooter>
    <oddHeader>&amp;LFAN_F-CS-200  样件状态说明&amp;RCIA CS100120-045C  3-2-3  内部</oddHeader>
    <oddFooter>&amp;L封面&amp;R第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28" customWidth="1" min="5" max="5"/>
    <col width="12" customWidth="1" min="6" max="6"/>
    <col width="18" customWidth="1" min="7" max="7"/>
    <col width="22" customWidth="1" min="8" max="8"/>
  </cols>
  <sheetData>
    <row r="1" ht="24" customHeight="1">
      <c r="A1" s="10" t="inlineStr">
        <is>
          <t>表2  样件清单</t>
        </is>
      </c>
    </row>
    <row r="2" ht="16" customHeight="1">
      <c r="A2" s="11" t="inlineStr">
        <is>
          <t>一行一件。密钥状态必须为“生产”。标签：样件编号、零件号、SW/HW 版本、状态=生产。</t>
        </is>
      </c>
    </row>
    <row r="3" ht="28" customHeight="1">
      <c r="A3" s="3" t="inlineStr">
        <is>
          <t>样件编号</t>
        </is>
      </c>
      <c r="B3" s="3" t="inlineStr">
        <is>
          <t>零件号</t>
        </is>
      </c>
      <c r="C3" s="3" t="inlineStr">
        <is>
          <t>硬件版本</t>
        </is>
      </c>
      <c r="D3" s="3" t="inlineStr">
        <is>
          <t>软件版本</t>
        </is>
      </c>
      <c r="E3" s="3" t="inlineStr">
        <is>
          <t>校验和（CRC32/SHA-256）</t>
        </is>
      </c>
      <c r="F3" s="3" t="inlineStr">
        <is>
          <t>密钥状态</t>
        </is>
      </c>
      <c r="G3" s="3" t="inlineStr">
        <is>
          <t>去向</t>
        </is>
      </c>
      <c r="H3" s="3" t="inlineStr">
        <is>
          <t>备注</t>
        </is>
      </c>
    </row>
    <row r="4" ht="22" customHeight="1">
      <c r="A4" s="6" t="inlineStr">
        <is>
          <t>FAN_F-S-001</t>
        </is>
      </c>
      <c r="B4" s="6" t="inlineStr"/>
      <c r="C4" s="6" t="inlineStr"/>
      <c r="D4" s="6" t="inlineStr"/>
      <c r="E4" s="6" t="inlineStr"/>
      <c r="F4" s="12" t="inlineStr">
        <is>
          <t>生产</t>
        </is>
      </c>
      <c r="G4" s="12" t="inlineStr">
        <is>
          <t>福田安全评估</t>
        </is>
      </c>
      <c r="H4" s="6" t="inlineStr"/>
    </row>
    <row r="5" ht="22" customHeight="1">
      <c r="A5" s="6" t="inlineStr">
        <is>
          <t>FAN_F-S-002</t>
        </is>
      </c>
      <c r="B5" s="6" t="inlineStr"/>
      <c r="C5" s="6" t="inlineStr"/>
      <c r="D5" s="6" t="inlineStr"/>
      <c r="E5" s="6" t="inlineStr"/>
      <c r="F5" s="12" t="inlineStr">
        <is>
          <t>生产</t>
        </is>
      </c>
      <c r="G5" s="12" t="inlineStr">
        <is>
          <t>福田安全评估</t>
        </is>
      </c>
      <c r="H5" s="6" t="inlineStr"/>
    </row>
    <row r="6" ht="22" customHeight="1">
      <c r="A6" s="6" t="inlineStr"/>
      <c r="B6" s="6" t="inlineStr"/>
      <c r="C6" s="6" t="inlineStr"/>
      <c r="D6" s="6" t="inlineStr"/>
      <c r="E6" s="6" t="inlineStr"/>
      <c r="F6" s="12" t="inlineStr"/>
      <c r="G6" s="12" t="inlineStr"/>
      <c r="H6" s="6" t="inlineStr"/>
    </row>
    <row r="7" ht="22" customHeight="1">
      <c r="A7" s="6" t="inlineStr"/>
      <c r="B7" s="6" t="inlineStr"/>
      <c r="C7" s="6" t="inlineStr"/>
      <c r="D7" s="6" t="inlineStr"/>
      <c r="E7" s="6" t="inlineStr"/>
      <c r="F7" s="12" t="inlineStr"/>
      <c r="G7" s="12" t="inlineStr"/>
      <c r="H7" s="6" t="inlineStr"/>
    </row>
    <row r="8" ht="22" customHeight="1">
      <c r="A8" s="6" t="inlineStr"/>
      <c r="B8" s="6" t="inlineStr"/>
      <c r="C8" s="6" t="inlineStr"/>
      <c r="D8" s="6" t="inlineStr"/>
      <c r="E8" s="6" t="inlineStr"/>
      <c r="F8" s="12" t="inlineStr"/>
      <c r="G8" s="12" t="inlineStr"/>
      <c r="H8" s="6" t="inlineStr"/>
    </row>
    <row r="9" ht="22" customHeight="1">
      <c r="A9" s="6" t="inlineStr"/>
      <c r="B9" s="6" t="inlineStr"/>
      <c r="C9" s="6" t="inlineStr"/>
      <c r="D9" s="6" t="inlineStr"/>
      <c r="E9" s="6" t="inlineStr"/>
      <c r="F9" s="12" t="inlineStr"/>
      <c r="G9" s="12" t="inlineStr"/>
      <c r="H9" s="6" t="inlineStr"/>
    </row>
    <row r="10" ht="22" customHeight="1">
      <c r="A10" s="6" t="inlineStr"/>
      <c r="B10" s="6" t="inlineStr"/>
      <c r="C10" s="6" t="inlineStr"/>
      <c r="D10" s="6" t="inlineStr"/>
      <c r="E10" s="6" t="inlineStr"/>
      <c r="F10" s="12" t="inlineStr"/>
      <c r="G10" s="12" t="inlineStr"/>
      <c r="H10" s="6" t="inlineStr"/>
    </row>
    <row r="11" ht="22" customHeight="1">
      <c r="A11" s="6" t="inlineStr"/>
      <c r="B11" s="6" t="inlineStr"/>
      <c r="C11" s="6" t="inlineStr"/>
      <c r="D11" s="6" t="inlineStr"/>
      <c r="E11" s="6" t="inlineStr"/>
      <c r="F11" s="12" t="inlineStr"/>
      <c r="G11" s="12" t="inlineStr"/>
      <c r="H11" s="6" t="inlineStr"/>
    </row>
    <row r="12" ht="22" customHeight="1">
      <c r="A12" s="6" t="inlineStr"/>
      <c r="B12" s="6" t="inlineStr"/>
      <c r="C12" s="6" t="inlineStr"/>
      <c r="D12" s="6" t="inlineStr"/>
      <c r="E12" s="6" t="inlineStr"/>
      <c r="F12" s="12" t="inlineStr"/>
      <c r="G12" s="12" t="inlineStr"/>
      <c r="H12" s="6" t="inlineStr"/>
    </row>
    <row r="13" ht="22" customHeight="1">
      <c r="A13" s="6" t="inlineStr"/>
      <c r="B13" s="6" t="inlineStr"/>
      <c r="C13" s="6" t="inlineStr"/>
      <c r="D13" s="6" t="inlineStr"/>
      <c r="E13" s="6" t="inlineStr"/>
      <c r="F13" s="12" t="inlineStr"/>
      <c r="G13" s="12" t="inlineStr"/>
      <c r="H13" s="6" t="inlineStr"/>
    </row>
    <row r="15">
      <c r="A15" s="13" t="inlineStr">
        <is>
          <t>实际件数应与封面“本批数量”一致。多余空行可留空。</t>
        </is>
      </c>
    </row>
  </sheetData>
  <autoFilter ref="A3:H3"/>
  <mergeCells count="2">
    <mergeCell ref="A2:H2"/>
    <mergeCell ref="A1:H1"/>
  </mergeCells>
  <conditionalFormatting sqref="F4:F13">
    <cfRule type="cellIs" priority="1" operator="equal" dxfId="0">
      <formula>"是"</formula>
    </cfRule>
    <cfRule type="cellIs" priority="2" operator="equal" dxfId="1">
      <formula>"否"</formula>
    </cfRule>
    <cfRule type="cellIs" priority="3" operator="equal" dxfId="2">
      <formula>"N/A"</formula>
    </cfRule>
    <cfRule type="cellIs" priority="4" operator="equal" dxfId="0">
      <formula>"有"</formula>
    </cfRule>
    <cfRule type="cellIs" priority="5" operator="equal" dxfId="1">
      <formula>"无"</formula>
    </cfRule>
    <cfRule type="cellIs" priority="6" operator="equal" dxfId="0">
      <formula>"开启"</formula>
    </cfRule>
    <cfRule type="cellIs" priority="7" operator="equal" dxfId="2">
      <formula>"关闭"</formula>
    </cfRule>
    <cfRule type="cellIs" priority="8" operator="equal" dxfId="3">
      <formula>"预控"</formula>
    </cfRule>
    <cfRule type="cellIs" priority="9" operator="equal" dxfId="0">
      <formula>"已确认"</formula>
    </cfRule>
    <cfRule type="cellIs" priority="10" operator="equal" dxfId="0">
      <formula>"已落实"</formula>
    </cfRule>
    <cfRule type="cellIs" priority="11" operator="equal" dxfId="1">
      <formula>"未落实"</formula>
    </cfRule>
    <cfRule type="cellIs" priority="12" operator="equal" dxfId="0">
      <formula>"生产"</formula>
    </cfRule>
    <cfRule type="cellIs" priority="13" operator="equal" dxfId="1">
      <formula>"开发"</formula>
    </cfRule>
  </conditionalFormatting>
  <dataValidations count="2">
    <dataValidation sqref="F4:F13" showDropDown="0" showInputMessage="0" showErrorMessage="0" allowBlank="1" errorTitle="无效输入" error="请从下拉列表选择" promptTitle="密钥状态" prompt="请选择" type="list">
      <formula1>"生产,开发"</formula1>
    </dataValidation>
    <dataValidation sqref="G4:G13" showDropDown="0" showInputMessage="0" showErrorMessage="0" allowBlank="1" errorTitle="无效输入" error="请从下拉列表选择" promptTitle="去向" prompt="请选择" type="list">
      <formula1>"福田安全评估,留厂备份,其他"</formula1>
    </dataValidation>
  </dataValidations>
  <pageMargins left="0.5" right="0.5" top="0.6" bottom="0.6" header="0.25" footer="0.25"/>
  <pageSetup orientation="landscape" paperSize="9" fitToHeight="0" fitToWidth="1"/>
  <headerFooter>
    <oddHeader>&amp;LFAN_F-CS-200  样件状态说明&amp;RCIA CS100120-045C  3-2-3  内部</oddHeader>
    <oddFooter>&amp;L01-样件清单&amp;R第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28" customWidth="1" min="3" max="3"/>
  </cols>
  <sheetData>
    <row r="1" ht="24" customHeight="1">
      <c r="A1" s="10" t="inlineStr">
        <is>
          <t>表3  软件 / 硬件基线</t>
        </is>
      </c>
    </row>
    <row r="2" ht="16" customHeight="1">
      <c r="A2" s="11" t="inlineStr">
        <is>
          <t>与发布包、UDS 可读版本一致。</t>
        </is>
      </c>
    </row>
    <row r="3" ht="28" customHeight="1">
      <c r="A3" s="3" t="inlineStr">
        <is>
          <t>项目</t>
        </is>
      </c>
      <c r="B3" s="3" t="inlineStr">
        <is>
          <t>填写</t>
        </is>
      </c>
      <c r="C3" s="3" t="inlineStr">
        <is>
          <t>备注</t>
        </is>
      </c>
    </row>
    <row r="4" ht="22" customHeight="1">
      <c r="A4" s="4" t="inlineStr">
        <is>
          <t>MCU</t>
        </is>
      </c>
      <c r="B4" s="14" t="inlineStr">
        <is>
          <t>S32K144W</t>
        </is>
      </c>
      <c r="C4" s="14" t="inlineStr">
        <is>
          <t>勿改（除非换芯片）</t>
        </is>
      </c>
    </row>
    <row r="5" ht="22" customHeight="1">
      <c r="A5" s="4" t="inlineStr">
        <is>
          <t>编译工具链</t>
        </is>
      </c>
      <c r="B5" s="6" t="inlineStr"/>
      <c r="C5" s="5" t="inlineStr">
        <is>
          <t>如 IAR 版本号</t>
        </is>
      </c>
    </row>
    <row r="6" ht="22" customHeight="1">
      <c r="A6" s="4" t="inlineStr">
        <is>
          <t>SDK</t>
        </is>
      </c>
      <c r="B6" s="6" t="inlineStr">
        <is>
          <t>s32sdk_s32k1xx_rtm_402</t>
        </is>
      </c>
      <c r="C6" s="14" t="inlineStr">
        <is>
          <t>按实际修改</t>
        </is>
      </c>
    </row>
    <row r="7" ht="22" customHeight="1">
      <c r="A7" s="4" t="inlineStr">
        <is>
          <t>应用软件版本</t>
        </is>
      </c>
      <c r="B7" s="6" t="inlineStr"/>
      <c r="C7" s="5" t="inlineStr">
        <is>
          <t>x.y.z</t>
        </is>
      </c>
    </row>
    <row r="8" ht="22" customHeight="1">
      <c r="A8" s="4" t="inlineStr">
        <is>
          <t>软件发布日期</t>
        </is>
      </c>
      <c r="B8" s="6" t="inlineStr"/>
      <c r="C8" s="14" t="inlineStr">
        <is>
          <t>YYYY-MM-DD</t>
        </is>
      </c>
    </row>
    <row r="9" ht="22" customHeight="1">
      <c r="A9" s="4" t="inlineStr">
        <is>
          <t>Bootloader 版本</t>
        </is>
      </c>
      <c r="B9" s="6" t="inlineStr"/>
      <c r="C9" s="5" t="inlineStr">
        <is>
          <t>无独立 Boot 填“无”</t>
        </is>
      </c>
    </row>
    <row r="10" ht="22" customHeight="1">
      <c r="A10" s="4" t="inlineStr">
        <is>
          <t>发布包文件名</t>
        </is>
      </c>
      <c r="B10" s="6" t="inlineStr"/>
      <c r="C10" s="14" t="inlineStr">
        <is>
          <t>.hex / .s19</t>
        </is>
      </c>
    </row>
    <row r="11" ht="22" customHeight="1">
      <c r="A11" s="4" t="inlineStr">
        <is>
          <t>校验算法</t>
        </is>
      </c>
      <c r="B11" s="6" t="inlineStr"/>
      <c r="C11" s="5" t="inlineStr">
        <is>
          <t>CRC32 或 SHA-256</t>
        </is>
      </c>
    </row>
    <row r="12" ht="22" customHeight="1">
      <c r="A12" s="4" t="inlineStr">
        <is>
          <t>UDS 版本 DID</t>
        </is>
      </c>
      <c r="B12" s="6" t="inlineStr"/>
      <c r="C12" s="14" t="inlineStr">
        <is>
          <t>DID 号</t>
        </is>
      </c>
    </row>
    <row r="13" ht="22" customHeight="1">
      <c r="A13" s="4" t="inlineStr">
        <is>
          <t>UDS 版本读值</t>
        </is>
      </c>
      <c r="B13" s="6" t="inlineStr"/>
      <c r="C13" s="5" t="inlineStr">
        <is>
          <t>与 DID 读出一致</t>
        </is>
      </c>
    </row>
    <row r="14" ht="22" customHeight="1">
      <c r="A14" s="4" t="inlineStr">
        <is>
          <t>PCB 版本</t>
        </is>
      </c>
      <c r="B14" s="6" t="inlineStr"/>
      <c r="C14" s="14" t="inlineStr"/>
    </row>
    <row r="15" ht="22" customHeight="1">
      <c r="A15" s="4" t="inlineStr">
        <is>
          <t>BOM 版本</t>
        </is>
      </c>
      <c r="B15" s="6" t="inlineStr"/>
      <c r="C15" s="5" t="inlineStr"/>
    </row>
    <row r="16" ht="22" customHeight="1">
      <c r="A16" s="4" t="inlineStr">
        <is>
          <t>发布检查表签字日期</t>
        </is>
      </c>
      <c r="B16" s="6" t="inlineStr"/>
      <c r="C16" s="14" t="inlineStr">
        <is>
          <t>FAN_F-CS-020 附录 A</t>
        </is>
      </c>
    </row>
  </sheetData>
  <autoFilter ref="A3:C3"/>
  <mergeCells count="2">
    <mergeCell ref="A1:C1"/>
    <mergeCell ref="A2:C2"/>
  </mergeCells>
  <pageMargins left="0.5" right="0.5" top="0.6" bottom="0.6" header="0.25" footer="0.25"/>
  <pageSetup orientation="portrait" paperSize="9" fitToHeight="0" fitToWidth="1"/>
  <headerFooter>
    <oddHeader>&amp;LFAN_F-CS-200  样件状态说明&amp;RCIA CS100120-045C  3-2-3  内部</oddHeader>
    <oddFooter>&amp;L02-软硬件基线&amp;R第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48" customWidth="1" min="3" max="3"/>
    <col width="10" customWidth="1" min="4" max="4"/>
    <col width="28" customWidth="1" min="5" max="5"/>
  </cols>
  <sheetData>
    <row r="1" ht="24" customHeight="1">
      <c r="A1" s="10" t="inlineStr">
        <is>
          <t>表4  连续生产状态检查总表（本条款核心）</t>
        </is>
      </c>
    </row>
    <row r="2" ht="16" customHeight="1">
      <c r="A2" s="11" t="inlineStr">
        <is>
          <t>任一项结果为“否”→ 本批不得作为 3-2-3 评估样件。不适用选 N/A 并在证据栏说明原因。</t>
        </is>
      </c>
    </row>
    <row r="3" ht="28" customHeight="1">
      <c r="A3" s="3" t="inlineStr">
        <is>
          <t>序号</t>
        </is>
      </c>
      <c r="B3" s="3" t="inlineStr">
        <is>
          <t>检查项（条款要求）</t>
        </is>
      </c>
      <c r="C3" s="3" t="inlineStr">
        <is>
          <t>本项目实现</t>
        </is>
      </c>
      <c r="D3" s="3" t="inlineStr">
        <is>
          <t>结果</t>
        </is>
      </c>
      <c r="E3" s="3" t="inlineStr">
        <is>
          <t>证据 / 备注</t>
        </is>
      </c>
    </row>
    <row r="4" ht="22" customHeight="1">
      <c r="A4" s="15" t="inlineStr">
        <is>
          <t>1</t>
        </is>
      </c>
      <c r="B4" s="14" t="inlineStr">
        <is>
          <t>JTAG 锁</t>
        </is>
      </c>
      <c r="C4" s="14" t="inlineStr">
        <is>
          <t>S32K144W FSEC=Secure，SWD/JTAG 不可读应用 Flash</t>
        </is>
      </c>
      <c r="D4" s="12" t="inlineStr"/>
      <c r="E4" s="6" t="inlineStr">
        <is>
          <t>J-Link 验证记录</t>
        </is>
      </c>
    </row>
    <row r="5" ht="22" customHeight="1">
      <c r="A5" s="16" t="inlineStr">
        <is>
          <t>2</t>
        </is>
      </c>
      <c r="B5" s="5" t="inlineStr">
        <is>
          <t>生产密钥激活</t>
        </is>
      </c>
      <c r="C5" s="5" t="inlineStr">
        <is>
          <t>UDS 0x27 为生产 Seed-Key；开发固定 Key 已移除</t>
        </is>
      </c>
      <c r="D5" s="12" t="inlineStr"/>
      <c r="E5" s="6" t="inlineStr">
        <is>
          <t>密钥批次号</t>
        </is>
      </c>
    </row>
    <row r="6" ht="22" customHeight="1">
      <c r="A6" s="15" t="inlineStr">
        <is>
          <t>3</t>
        </is>
      </c>
      <c r="B6" s="14" t="inlineStr">
        <is>
          <t>刷写验签 / 完整性</t>
        </is>
      </c>
      <c r="C6" s="14" t="inlineStr">
        <is>
          <t>仅接受校验或签名通过的刷写包（生产公钥）</t>
        </is>
      </c>
      <c r="D6" s="12" t="inlineStr"/>
      <c r="E6" s="6" t="inlineStr">
        <is>
          <t>验签 / 仅CRC / 无刷写</t>
        </is>
      </c>
    </row>
    <row r="7" ht="22" customHeight="1">
      <c r="A7" s="16" t="inlineStr">
        <is>
          <t>4</t>
        </is>
      </c>
      <c r="B7" s="5" t="inlineStr">
        <is>
          <t>开发访问停用：FreeMASTER</t>
        </is>
      </c>
      <c r="C7" s="5" t="inlineStr">
        <is>
          <t>0x7AA 等标定口关闭，或须先过 0x27</t>
        </is>
      </c>
      <c r="D7" s="12" t="inlineStr"/>
      <c r="E7" s="6" t="inlineStr"/>
    </row>
    <row r="8" ht="22" customHeight="1">
      <c r="A8" s="15" t="inlineStr">
        <is>
          <t>5</t>
        </is>
      </c>
      <c r="B8" s="14" t="inlineStr">
        <is>
          <t>开发访问停用：测试 DID / 后门 / 工程模式</t>
        </is>
      </c>
      <c r="C8" s="14" t="inlineStr">
        <is>
          <t>正式产品中已移除</t>
        </is>
      </c>
      <c r="D8" s="12" t="inlineStr"/>
      <c r="E8" s="6" t="inlineStr"/>
    </row>
    <row r="9" ht="22" customHeight="1">
      <c r="A9" s="16" t="inlineStr">
        <is>
          <t>6</t>
        </is>
      </c>
      <c r="B9" s="5" t="inlineStr">
        <is>
          <t>开发访问停用：调试串口明文日志</t>
        </is>
      </c>
      <c r="C9" s="5" t="inlineStr">
        <is>
          <t>关闭或仅非敏感信息</t>
        </is>
      </c>
      <c r="D9" s="12" t="inlineStr"/>
      <c r="E9" s="6" t="inlineStr"/>
    </row>
    <row r="10" ht="22" customHeight="1">
      <c r="A10" s="15" t="inlineStr">
        <is>
          <t>7</t>
        </is>
      </c>
      <c r="B10" s="14" t="inlineStr">
        <is>
          <t>无测试账号 / 测试密钥 / 测试口令</t>
        </is>
      </c>
      <c r="C10" s="14" t="inlineStr">
        <is>
          <t>本批不含 4-1 测试凭证</t>
        </is>
      </c>
      <c r="D10" s="12" t="inlineStr"/>
      <c r="E10" s="6" t="inlineStr"/>
    </row>
    <row r="11" ht="22" customHeight="1">
      <c r="A11" s="16" t="inlineStr">
        <is>
          <t>8</t>
        </is>
      </c>
      <c r="B11" s="5" t="inlineStr">
        <is>
          <t>UDS 写 / IO / 刷写绑定 0x27</t>
        </is>
      </c>
      <c r="C11" s="5" t="inlineStr">
        <is>
          <t>见工作表 04-UDS白名单</t>
        </is>
      </c>
      <c r="D11" s="12" t="inlineStr"/>
      <c r="E11" s="6" t="inlineStr"/>
    </row>
    <row r="12" ht="22" customHeight="1">
      <c r="A12" s="15" t="inlineStr">
        <is>
          <t>9</t>
        </is>
      </c>
      <c r="B12" s="14" t="inlineStr">
        <is>
          <t>TARA 中高风险资产已保护</t>
        </is>
      </c>
      <c r="C12" s="14" t="inlineStr">
        <is>
          <t>见工作表 05-TARA保护；未确认项标预控</t>
        </is>
      </c>
      <c r="D12" s="12" t="inlineStr"/>
      <c r="E12" s="6" t="inlineStr">
        <is>
          <t>TARA 文件编号</t>
        </is>
      </c>
    </row>
    <row r="14" ht="28" customHeight="1">
      <c r="A14" s="17" t="inlineStr">
        <is>
          <t>结论（自动）</t>
        </is>
      </c>
      <c r="C14" s="18">
        <f>IF(COUNTIF(D4:D12,"否")&gt;0,"不合格：存在“否”，不得作为 3-2-3 评估样件",IF(COUNTBLANK(D4:D12)&gt;0,"未填完：请将结果列全部选择","合格：无“否”，可作为 3-2-3 评估样件"))</f>
        <v/>
      </c>
    </row>
    <row r="16">
      <c r="A16" s="13" t="inlineStr">
        <is>
          <t>统计：是 =</t>
        </is>
      </c>
      <c r="B16" s="13">
        <f>COUNTIF(D4:D12,"是")</f>
        <v/>
      </c>
      <c r="C16" s="13" t="inlineStr">
        <is>
          <t>否 =</t>
        </is>
      </c>
      <c r="D16" s="13">
        <f>COUNTIF(D4:D12,"否")</f>
        <v/>
      </c>
      <c r="E16" s="13">
        <f>CONCATENATE("N/A = ",COUNTIF(D4:D12,"N/A"),"    未填 = ",COUNTBLANK(D4:D12))</f>
        <v/>
      </c>
    </row>
  </sheetData>
  <autoFilter ref="A3:E3"/>
  <mergeCells count="4">
    <mergeCell ref="A2:E2"/>
    <mergeCell ref="A14:B14"/>
    <mergeCell ref="A1:E1"/>
    <mergeCell ref="C14:E14"/>
  </mergeCells>
  <conditionalFormatting sqref="D4:D12">
    <cfRule type="cellIs" priority="1" operator="equal" dxfId="0">
      <formula>"是"</formula>
    </cfRule>
    <cfRule type="cellIs" priority="2" operator="equal" dxfId="1">
      <formula>"否"</formula>
    </cfRule>
    <cfRule type="cellIs" priority="3" operator="equal" dxfId="2">
      <formula>"N/A"</formula>
    </cfRule>
    <cfRule type="cellIs" priority="4" operator="equal" dxfId="0">
      <formula>"有"</formula>
    </cfRule>
    <cfRule type="cellIs" priority="5" operator="equal" dxfId="1">
      <formula>"无"</formula>
    </cfRule>
    <cfRule type="cellIs" priority="6" operator="equal" dxfId="0">
      <formula>"开启"</formula>
    </cfRule>
    <cfRule type="cellIs" priority="7" operator="equal" dxfId="2">
      <formula>"关闭"</formula>
    </cfRule>
    <cfRule type="cellIs" priority="8" operator="equal" dxfId="3">
      <formula>"预控"</formula>
    </cfRule>
    <cfRule type="cellIs" priority="9" operator="equal" dxfId="0">
      <formula>"已确认"</formula>
    </cfRule>
    <cfRule type="cellIs" priority="10" operator="equal" dxfId="0">
      <formula>"已落实"</formula>
    </cfRule>
    <cfRule type="cellIs" priority="11" operator="equal" dxfId="1">
      <formula>"未落实"</formula>
    </cfRule>
    <cfRule type="cellIs" priority="12" operator="equal" dxfId="0">
      <formula>"生产"</formula>
    </cfRule>
    <cfRule type="cellIs" priority="13" operator="equal" dxfId="1">
      <formula>"开发"</formula>
    </cfRule>
  </conditionalFormatting>
  <conditionalFormatting sqref="C14">
    <cfRule type="expression" priority="14" dxfId="0">
      <formula>ISNUMBER(SEARCH("合格：",C14))</formula>
    </cfRule>
    <cfRule type="expression" priority="15" dxfId="1">
      <formula>ISNUMBER(SEARCH("不合格",C14))</formula>
    </cfRule>
  </conditionalFormatting>
  <dataValidations count="1">
    <dataValidation sqref="D4:D12" showDropDown="0" showInputMessage="0" showErrorMessage="0" allowBlank="1" errorTitle="无效输入" error="请从下拉列表选择" promptTitle="结果" prompt="请选择" type="list">
      <formula1>"是,否,N/A"</formula1>
    </dataValidation>
  </dataValidations>
  <pageMargins left="0.5" right="0.5" top="0.6" bottom="0.6" header="0.25" footer="0.25"/>
  <pageSetup orientation="landscape" paperSize="9" fitToHeight="0" fitToWidth="1"/>
  <headerFooter>
    <oddHeader>&amp;LFAN_F-CS-200  样件状态说明&amp;RCIA CS100120-045C  3-2-3  内部</oddHeader>
    <oddFooter>&amp;L03-连续生产状态检查&amp;R第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2" customWidth="1" min="3" max="3"/>
    <col width="12" customWidth="1" min="4" max="4"/>
    <col width="28" customWidth="1" min="5" max="5"/>
  </cols>
  <sheetData>
    <row r="1" ht="24" customHeight="1">
      <c r="A1" s="10" t="inlineStr">
        <is>
          <t>表5  UDS 服务 / DID 白名单</t>
        </is>
      </c>
    </row>
    <row r="2" ht="16" customHeight="1">
      <c r="A2" s="11" t="inlineStr">
        <is>
          <t>未列出的服务在本批样件中不可用。须与福田诊断需求一致。</t>
        </is>
      </c>
    </row>
    <row r="3" ht="28" customHeight="1">
      <c r="A3" s="3" t="inlineStr">
        <is>
          <t>SID</t>
        </is>
      </c>
      <c r="B3" s="3" t="inlineStr">
        <is>
          <t>名称</t>
        </is>
      </c>
      <c r="C3" s="3" t="inlineStr">
        <is>
          <t>是否需 0x27</t>
        </is>
      </c>
      <c r="D3" s="3" t="inlineStr">
        <is>
          <t>本批状态</t>
        </is>
      </c>
      <c r="E3" s="3" t="inlineStr">
        <is>
          <t>备注</t>
        </is>
      </c>
    </row>
    <row r="4" ht="22" customHeight="1">
      <c r="A4" s="6" t="inlineStr">
        <is>
          <t>0x10</t>
        </is>
      </c>
      <c r="B4" s="6" t="inlineStr">
        <is>
          <t>Diagnostic Session Control</t>
        </is>
      </c>
      <c r="C4" s="6" t="inlineStr">
        <is>
          <t>扩展/编程会话按需求</t>
        </is>
      </c>
      <c r="D4" s="12" t="inlineStr">
        <is>
          <t>开启</t>
        </is>
      </c>
      <c r="E4" s="6" t="inlineStr"/>
    </row>
    <row r="5" ht="22" customHeight="1">
      <c r="A5" s="6" t="inlineStr">
        <is>
          <t>0x14 / 0x19</t>
        </is>
      </c>
      <c r="B5" s="6" t="inlineStr">
        <is>
          <t>DTC</t>
        </is>
      </c>
      <c r="C5" s="6" t="inlineStr">
        <is>
          <t>否</t>
        </is>
      </c>
      <c r="D5" s="12" t="inlineStr">
        <is>
          <t>开启</t>
        </is>
      </c>
      <c r="E5" s="6" t="inlineStr"/>
    </row>
    <row r="6" ht="22" customHeight="1">
      <c r="A6" s="6" t="inlineStr">
        <is>
          <t>0x22</t>
        </is>
      </c>
      <c r="B6" s="6" t="inlineStr">
        <is>
          <t>Read Data By Identifier</t>
        </is>
      </c>
      <c r="C6" s="6" t="inlineStr">
        <is>
          <t>否（敏感 DID 禁止）</t>
        </is>
      </c>
      <c r="D6" s="12" t="inlineStr">
        <is>
          <t>开启</t>
        </is>
      </c>
      <c r="E6" s="6" t="inlineStr">
        <is>
          <t>敏感 DID 清单见备注</t>
        </is>
      </c>
    </row>
    <row r="7" ht="22" customHeight="1">
      <c r="A7" s="6" t="inlineStr">
        <is>
          <t>0x27</t>
        </is>
      </c>
      <c r="B7" s="6" t="inlineStr">
        <is>
          <t>Security Access</t>
        </is>
      </c>
      <c r="C7" s="6" t="inlineStr">
        <is>
          <t>—</t>
        </is>
      </c>
      <c r="D7" s="12" t="inlineStr">
        <is>
          <t>开启</t>
        </is>
      </c>
      <c r="E7" s="6" t="inlineStr">
        <is>
          <t>等级及算法不在本表展开</t>
        </is>
      </c>
    </row>
    <row r="8" ht="22" customHeight="1">
      <c r="A8" s="6" t="inlineStr">
        <is>
          <t>0x2E</t>
        </is>
      </c>
      <c r="B8" s="6" t="inlineStr">
        <is>
          <t>Write Data By Identifier</t>
        </is>
      </c>
      <c r="C8" s="6" t="inlineStr">
        <is>
          <t>是</t>
        </is>
      </c>
      <c r="D8" s="12" t="inlineStr">
        <is>
          <t>开启</t>
        </is>
      </c>
      <c r="E8" s="6" t="inlineStr"/>
    </row>
    <row r="9" ht="22" customHeight="1">
      <c r="A9" s="6" t="inlineStr">
        <is>
          <t>0x2F</t>
        </is>
      </c>
      <c r="B9" s="6" t="inlineStr">
        <is>
          <t>Input Output Control</t>
        </is>
      </c>
      <c r="C9" s="6" t="inlineStr">
        <is>
          <t>是</t>
        </is>
      </c>
      <c r="D9" s="12" t="inlineStr">
        <is>
          <t>开启</t>
        </is>
      </c>
      <c r="E9" s="6" t="inlineStr">
        <is>
          <t>风扇控制</t>
        </is>
      </c>
    </row>
    <row r="10" ht="22" customHeight="1">
      <c r="A10" s="6" t="inlineStr">
        <is>
          <t>0x31</t>
        </is>
      </c>
      <c r="B10" s="6" t="inlineStr">
        <is>
          <t>Routine Control</t>
        </is>
      </c>
      <c r="C10" s="6" t="inlineStr">
        <is>
          <t>按服务</t>
        </is>
      </c>
      <c r="D10" s="12" t="inlineStr">
        <is>
          <t>开启</t>
        </is>
      </c>
      <c r="E10" s="6" t="inlineStr"/>
    </row>
    <row r="11" ht="22" customHeight="1">
      <c r="A11" s="6" t="inlineStr">
        <is>
          <t>0x34 / 0x36 / 0x37</t>
        </is>
      </c>
      <c r="B11" s="6" t="inlineStr">
        <is>
          <t>Download / 刷写</t>
        </is>
      </c>
      <c r="C11" s="6" t="inlineStr">
        <is>
          <t>是</t>
        </is>
      </c>
      <c r="D11" s="12" t="inlineStr">
        <is>
          <t>开启</t>
        </is>
      </c>
      <c r="E11" s="6" t="inlineStr"/>
    </row>
    <row r="12" ht="22" customHeight="1">
      <c r="A12" s="6" t="inlineStr"/>
      <c r="B12" s="6" t="inlineStr">
        <is>
          <t>（可增行）</t>
        </is>
      </c>
      <c r="C12" s="6" t="inlineStr"/>
      <c r="D12" s="12" t="inlineStr"/>
      <c r="E12" s="6" t="inlineStr"/>
    </row>
    <row r="13" ht="22" customHeight="1">
      <c r="A13" s="6" t="inlineStr"/>
      <c r="B13" s="6" t="inlineStr"/>
      <c r="C13" s="6" t="inlineStr"/>
      <c r="D13" s="12" t="inlineStr"/>
      <c r="E13" s="6" t="inlineStr"/>
    </row>
  </sheetData>
  <autoFilter ref="A3:E3"/>
  <mergeCells count="2">
    <mergeCell ref="A2:E2"/>
    <mergeCell ref="A1:E1"/>
  </mergeCells>
  <conditionalFormatting sqref="D4:D13">
    <cfRule type="cellIs" priority="1" operator="equal" dxfId="0">
      <formula>"是"</formula>
    </cfRule>
    <cfRule type="cellIs" priority="2" operator="equal" dxfId="1">
      <formula>"否"</formula>
    </cfRule>
    <cfRule type="cellIs" priority="3" operator="equal" dxfId="2">
      <formula>"N/A"</formula>
    </cfRule>
    <cfRule type="cellIs" priority="4" operator="equal" dxfId="0">
      <formula>"有"</formula>
    </cfRule>
    <cfRule type="cellIs" priority="5" operator="equal" dxfId="1">
      <formula>"无"</formula>
    </cfRule>
    <cfRule type="cellIs" priority="6" operator="equal" dxfId="0">
      <formula>"开启"</formula>
    </cfRule>
    <cfRule type="cellIs" priority="7" operator="equal" dxfId="2">
      <formula>"关闭"</formula>
    </cfRule>
    <cfRule type="cellIs" priority="8" operator="equal" dxfId="3">
      <formula>"预控"</formula>
    </cfRule>
    <cfRule type="cellIs" priority="9" operator="equal" dxfId="0">
      <formula>"已确认"</formula>
    </cfRule>
    <cfRule type="cellIs" priority="10" operator="equal" dxfId="0">
      <formula>"已落实"</formula>
    </cfRule>
    <cfRule type="cellIs" priority="11" operator="equal" dxfId="1">
      <formula>"未落实"</formula>
    </cfRule>
    <cfRule type="cellIs" priority="12" operator="equal" dxfId="0">
      <formula>"生产"</formula>
    </cfRule>
    <cfRule type="cellIs" priority="13" operator="equal" dxfId="1">
      <formula>"开发"</formula>
    </cfRule>
  </conditionalFormatting>
  <dataValidations count="1">
    <dataValidation sqref="D4:D13" showDropDown="0" showInputMessage="0" showErrorMessage="0" allowBlank="1" errorTitle="无效输入" error="请从下拉列表选择" promptTitle="本批状态" prompt="请选择" type="list">
      <formula1>"开启,关闭"</formula1>
    </dataValidation>
  </dataValidations>
  <pageMargins left="0.5" right="0.5" top="0.6" bottom="0.6" header="0.25" footer="0.25"/>
  <pageSetup orientation="landscape" paperSize="9" fitToHeight="0" fitToWidth="1"/>
  <headerFooter>
    <oddHeader>&amp;LFAN_F-CS-200  样件状态说明&amp;RCIA CS100120-045C  3-2-3  内部</oddHeader>
    <oddFooter>&amp;L04-UDS白名单&amp;R第 &amp;P 页 / 共 &amp;N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2" customWidth="1" min="4" max="4"/>
    <col width="12" customWidth="1" min="5" max="5"/>
    <col width="22" customWidth="1" min="6" max="6"/>
  </cols>
  <sheetData>
    <row r="1" ht="24" customHeight="1">
      <c r="A1" s="10" t="inlineStr">
        <is>
          <t>表6  TARA 中高风险资产保护</t>
        </is>
      </c>
    </row>
    <row r="2" ht="16" customHeight="1">
      <c r="A2" s="11" t="inlineStr">
        <is>
          <t>3-1-2 确认前依据选“预控”；确认后选“已确认”。落实选“已落实”或“未落实”。</t>
        </is>
      </c>
    </row>
    <row r="3" ht="28" customHeight="1">
      <c r="A3" s="3" t="inlineStr">
        <is>
          <t>资产 / 威胁</t>
        </is>
      </c>
      <c r="B3" s="3" t="inlineStr">
        <is>
          <t>风险</t>
        </is>
      </c>
      <c r="C3" s="3" t="inlineStr">
        <is>
          <t>样件上的保护措施</t>
        </is>
      </c>
      <c r="D3" s="3" t="inlineStr">
        <is>
          <t>依据</t>
        </is>
      </c>
      <c r="E3" s="3" t="inlineStr">
        <is>
          <t>落实</t>
        </is>
      </c>
      <c r="F3" s="3" t="inlineStr">
        <is>
          <t>备注</t>
        </is>
      </c>
    </row>
    <row r="4" ht="22" customHeight="1">
      <c r="A4" s="6" t="inlineStr">
        <is>
          <t>固件被未授权刷写</t>
        </is>
      </c>
      <c r="B4" s="12" t="inlineStr">
        <is>
          <t>高</t>
        </is>
      </c>
      <c r="C4" s="6" t="inlineStr">
        <is>
          <t>刷写须 0x27；仅接受校验/签名通过的包</t>
        </is>
      </c>
      <c r="D4" s="12" t="inlineStr">
        <is>
          <t>预控</t>
        </is>
      </c>
      <c r="E4" s="12" t="inlineStr"/>
      <c r="F4" s="6" t="inlineStr"/>
    </row>
    <row r="5" ht="22" customHeight="1">
      <c r="A5" s="6" t="inlineStr">
        <is>
          <t>诊断写 / IO 控制被滥用</t>
        </is>
      </c>
      <c r="B5" s="12" t="inlineStr">
        <is>
          <t>高</t>
        </is>
      </c>
      <c r="C5" s="6" t="inlineStr">
        <is>
          <t>写、IO、相关例程须 0x27</t>
        </is>
      </c>
      <c r="D5" s="12" t="inlineStr">
        <is>
          <t>预控</t>
        </is>
      </c>
      <c r="E5" s="12" t="inlineStr"/>
      <c r="F5" s="6" t="inlineStr"/>
    </row>
    <row r="6" ht="22" customHeight="1">
      <c r="A6" s="6" t="inlineStr">
        <is>
          <t>密钥 / 算法被读出</t>
        </is>
      </c>
      <c r="B6" s="12" t="inlineStr">
        <is>
          <t>高</t>
        </is>
      </c>
      <c r="C6" s="6" t="inlineStr">
        <is>
          <t>JTAG 锁；禁止诊断读密钥；代码无明文密钥</t>
        </is>
      </c>
      <c r="D6" s="12" t="inlineStr">
        <is>
          <t>预控</t>
        </is>
      </c>
      <c r="E6" s="12" t="inlineStr"/>
      <c r="F6" s="6" t="inlineStr"/>
    </row>
    <row r="7" ht="22" customHeight="1">
      <c r="A7" s="6" t="inlineStr">
        <is>
          <t>FreeMASTER / 标定口未授权访问</t>
        </is>
      </c>
      <c r="B7" s="12" t="inlineStr">
        <is>
          <t>中</t>
        </is>
      </c>
      <c r="C7" s="6" t="inlineStr">
        <is>
          <t>量产关闭或绑定 0x27</t>
        </is>
      </c>
      <c r="D7" s="12" t="inlineStr">
        <is>
          <t>预控</t>
        </is>
      </c>
      <c r="E7" s="12" t="inlineStr"/>
      <c r="F7" s="6" t="inlineStr"/>
    </row>
    <row r="8" ht="22" customHeight="1">
      <c r="A8" s="6" t="inlineStr">
        <is>
          <t>CAN 伪造控制指令</t>
        </is>
      </c>
      <c r="B8" s="12" t="inlineStr">
        <is>
          <t>待确认</t>
        </is>
      </c>
      <c r="C8" s="6" t="inlineStr"/>
      <c r="D8" s="12" t="inlineStr">
        <is>
          <t>预控</t>
        </is>
      </c>
      <c r="E8" s="12" t="inlineStr"/>
      <c r="F8" s="6" t="inlineStr">
        <is>
          <t>按整车需求填写措施</t>
        </is>
      </c>
    </row>
    <row r="9" ht="22" customHeight="1">
      <c r="A9" s="6" t="inlineStr">
        <is>
          <t>（TARA 确认后增行）</t>
        </is>
      </c>
      <c r="B9" s="12" t="inlineStr"/>
      <c r="C9" s="6" t="inlineStr"/>
      <c r="D9" s="12" t="inlineStr"/>
      <c r="E9" s="12" t="inlineStr"/>
      <c r="F9" s="6" t="inlineStr"/>
    </row>
    <row r="10" ht="22" customHeight="1">
      <c r="A10" s="6" t="inlineStr"/>
      <c r="B10" s="12" t="inlineStr"/>
      <c r="C10" s="6" t="inlineStr"/>
      <c r="D10" s="12" t="inlineStr"/>
      <c r="E10" s="12" t="inlineStr"/>
      <c r="F10" s="6" t="inlineStr"/>
    </row>
  </sheetData>
  <autoFilter ref="A3:F3"/>
  <mergeCells count="2">
    <mergeCell ref="A2:F2"/>
    <mergeCell ref="A1:F1"/>
  </mergeCells>
  <conditionalFormatting sqref="D4:E10">
    <cfRule type="cellIs" priority="1" operator="equal" dxfId="0">
      <formula>"是"</formula>
    </cfRule>
    <cfRule type="cellIs" priority="2" operator="equal" dxfId="1">
      <formula>"否"</formula>
    </cfRule>
    <cfRule type="cellIs" priority="3" operator="equal" dxfId="2">
      <formula>"N/A"</formula>
    </cfRule>
    <cfRule type="cellIs" priority="4" operator="equal" dxfId="0">
      <formula>"有"</formula>
    </cfRule>
    <cfRule type="cellIs" priority="5" operator="equal" dxfId="1">
      <formula>"无"</formula>
    </cfRule>
    <cfRule type="cellIs" priority="6" operator="equal" dxfId="0">
      <formula>"开启"</formula>
    </cfRule>
    <cfRule type="cellIs" priority="7" operator="equal" dxfId="2">
      <formula>"关闭"</formula>
    </cfRule>
    <cfRule type="cellIs" priority="8" operator="equal" dxfId="3">
      <formula>"预控"</formula>
    </cfRule>
    <cfRule type="cellIs" priority="9" operator="equal" dxfId="0">
      <formula>"已确认"</formula>
    </cfRule>
    <cfRule type="cellIs" priority="10" operator="equal" dxfId="0">
      <formula>"已落实"</formula>
    </cfRule>
    <cfRule type="cellIs" priority="11" operator="equal" dxfId="1">
      <formula>"未落实"</formula>
    </cfRule>
    <cfRule type="cellIs" priority="12" operator="equal" dxfId="0">
      <formula>"生产"</formula>
    </cfRule>
    <cfRule type="cellIs" priority="13" operator="equal" dxfId="1">
      <formula>"开发"</formula>
    </cfRule>
  </conditionalFormatting>
  <dataValidations count="3">
    <dataValidation sqref="B4:B10" showDropDown="0" showInputMessage="0" showErrorMessage="0" allowBlank="1" errorTitle="无效输入" error="请从下拉列表选择" promptTitle="风险" prompt="请选择" type="list">
      <formula1>"高,中,低,待确认"</formula1>
    </dataValidation>
    <dataValidation sqref="D4:D10" showDropDown="0" showInputMessage="0" showErrorMessage="0" allowBlank="1" errorTitle="无效输入" error="请从下拉列表选择" promptTitle="依据" prompt="请选择" type="list">
      <formula1>"预控,已确认"</formula1>
    </dataValidation>
    <dataValidation sqref="E4:E10" showDropDown="0" showInputMessage="0" showErrorMessage="0" allowBlank="1" errorTitle="无效输入" error="请从下拉列表选择" promptTitle="落实" prompt="请选择" type="list">
      <formula1>"已落实,未落实"</formula1>
    </dataValidation>
  </dataValidations>
  <pageMargins left="0.5" right="0.5" top="0.6" bottom="0.6" header="0.25" footer="0.25"/>
  <pageSetup orientation="landscape" paperSize="9" fitToHeight="0" fitToWidth="1"/>
  <headerFooter>
    <oddHeader>&amp;LFAN_F-CS-200  样件状态说明&amp;RCIA CS100120-045C  3-2-3  内部</oddHeader>
    <oddFooter>&amp;L05-TARA保护&amp;R第 &amp;P 页 / 共 &amp;N 页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</cols>
  <sheetData>
    <row r="1" ht="24" customHeight="1">
      <c r="A1" s="10" t="inlineStr">
        <is>
          <t>表7  与 4-1 渗透测试样件的区分</t>
        </is>
      </c>
    </row>
    <row r="2" ht="16" customHeight="1">
      <c r="A2" s="11" t="inlineStr">
        <is>
          <t>本工作簿所附硬件全部为 3-2-3 评估样件。</t>
        </is>
      </c>
    </row>
    <row r="3" ht="28" customHeight="1">
      <c r="A3" s="3" t="inlineStr">
        <is>
          <t>项目</t>
        </is>
      </c>
      <c r="B3" s="3" t="inlineStr">
        <is>
          <t>本批 3-2-3（评估样件）</t>
        </is>
      </c>
      <c r="C3" s="3" t="inlineStr">
        <is>
          <t>4-1（如需要，另批）</t>
        </is>
      </c>
    </row>
    <row r="4" ht="22" customHeight="1">
      <c r="A4" s="4" t="inlineStr">
        <is>
          <t>编号规则</t>
        </is>
      </c>
      <c r="B4" s="14" t="inlineStr">
        <is>
          <t>FAN_F-S-xxx</t>
        </is>
      </c>
      <c r="C4" s="14" t="inlineStr">
        <is>
          <t>FAN_F-T-xxx，单独台账</t>
        </is>
      </c>
    </row>
    <row r="5" ht="22" customHeight="1">
      <c r="A5" s="4" t="inlineStr">
        <is>
          <t>用途</t>
        </is>
      </c>
      <c r="B5" s="5" t="inlineStr">
        <is>
          <t>验证量产形态是否锁死</t>
        </is>
      </c>
      <c r="C5" s="5" t="inlineStr">
        <is>
          <t>配合福田渗透 / 联调</t>
        </is>
      </c>
    </row>
    <row r="6" ht="22" customHeight="1">
      <c r="A6" s="4" t="inlineStr">
        <is>
          <t>JTAG</t>
        </is>
      </c>
      <c r="B6" s="14" t="inlineStr">
        <is>
          <t>锁定</t>
        </is>
      </c>
      <c r="C6" s="14" t="inlineStr">
        <is>
          <t>可按协议临时打开，测完关闭</t>
        </is>
      </c>
    </row>
    <row r="7" ht="22" customHeight="1">
      <c r="A7" s="4" t="inlineStr">
        <is>
          <t>密钥</t>
        </is>
      </c>
      <c r="B7" s="5" t="inlineStr">
        <is>
          <t>仅生产密钥</t>
        </is>
      </c>
      <c r="C7" s="5" t="inlineStr">
        <is>
          <t>可提供测试密钥，正式产品不得保留</t>
        </is>
      </c>
    </row>
    <row r="8" ht="22" customHeight="1">
      <c r="A8" s="4" t="inlineStr">
        <is>
          <t>FreeMASTER / 测试口</t>
        </is>
      </c>
      <c r="B8" s="14" t="inlineStr">
        <is>
          <t>关闭或须 0x27</t>
        </is>
      </c>
      <c r="C8" s="14" t="inlineStr">
        <is>
          <t>可临时开放，正式产品关闭</t>
        </is>
      </c>
    </row>
    <row r="9" ht="22" customHeight="1">
      <c r="A9" s="4" t="inlineStr">
        <is>
          <t>去向</t>
        </is>
      </c>
      <c r="B9" s="5" t="inlineStr">
        <is>
          <t>福田安全评估</t>
        </is>
      </c>
      <c r="C9" s="5" t="inlineStr">
        <is>
          <t>测完回收或刷回生产态</t>
        </is>
      </c>
    </row>
    <row r="10" ht="22" customHeight="1">
      <c r="A10" s="4" t="inlineStr">
        <is>
          <t>本文件是否覆盖</t>
        </is>
      </c>
      <c r="B10" s="14" t="inlineStr">
        <is>
          <t>是</t>
        </is>
      </c>
      <c r="C10" s="14" t="inlineStr">
        <is>
          <t>否，按 4-1 另交</t>
        </is>
      </c>
    </row>
  </sheetData>
  <autoFilter ref="A3:C3"/>
  <mergeCells count="2">
    <mergeCell ref="A1:C1"/>
    <mergeCell ref="A2:C2"/>
  </mergeCells>
  <pageMargins left="0.5" right="0.5" top="0.6" bottom="0.6" header="0.25" footer="0.25"/>
  <pageSetup orientation="landscape" paperSize="9" fitToHeight="0" fitToWidth="1"/>
  <headerFooter>
    <oddHeader>&amp;LFAN_F-CS-200  样件状态说明&amp;RCIA CS100120-045C  3-2-3  内部</oddHeader>
    <oddFooter>&amp;L06-与4-1区分&amp;R第 &amp;P 页 / 共 &amp;N 页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28" customWidth="1" min="3" max="3"/>
  </cols>
  <sheetData>
    <row r="1" ht="24" customHeight="1">
      <c r="A1" s="10" t="inlineStr">
        <is>
          <t>表8  上电 / CAN / 诊断连接</t>
        </is>
      </c>
    </row>
    <row r="2" ht="16" customHeight="1">
      <c r="A2" s="11" t="inlineStr">
        <is>
          <t>安全访问算法细节不在本表给出。</t>
        </is>
      </c>
    </row>
    <row r="3" ht="28" customHeight="1">
      <c r="A3" s="3" t="inlineStr">
        <is>
          <t>项目</t>
        </is>
      </c>
      <c r="B3" s="3" t="inlineStr">
        <is>
          <t>参数</t>
        </is>
      </c>
      <c r="C3" s="3" t="inlineStr">
        <is>
          <t>备注</t>
        </is>
      </c>
    </row>
    <row r="4" ht="22" customHeight="1">
      <c r="A4" s="4" t="inlineStr">
        <is>
          <t>低压供电</t>
        </is>
      </c>
      <c r="B4" s="6" t="inlineStr">
        <is>
          <t>12 V</t>
        </is>
      </c>
      <c r="C4" s="14" t="inlineStr">
        <is>
          <t>按实际修改；接口见图纸</t>
        </is>
      </c>
    </row>
    <row r="5" ht="22" customHeight="1">
      <c r="A5" s="4" t="inlineStr">
        <is>
          <t>针脚图 / 线束文件名</t>
        </is>
      </c>
      <c r="B5" s="6" t="inlineStr"/>
      <c r="C5" s="5" t="inlineStr"/>
    </row>
    <row r="6" ht="22" customHeight="1">
      <c r="A6" s="4" t="inlineStr">
        <is>
          <t>高压母线</t>
        </is>
      </c>
      <c r="B6" s="6" t="inlineStr">
        <is>
          <t>本评估不接高压</t>
        </is>
      </c>
      <c r="C6" s="14" t="inlineStr">
        <is>
          <t>台架需要则填电压</t>
        </is>
      </c>
    </row>
    <row r="7" ht="22" customHeight="1">
      <c r="A7" s="4" t="inlineStr">
        <is>
          <t>CAN 通道</t>
        </is>
      </c>
      <c r="B7" s="6" t="inlineStr">
        <is>
          <t>CAN1</t>
        </is>
      </c>
      <c r="C7" s="5" t="inlineStr"/>
    </row>
    <row r="8" ht="22" customHeight="1">
      <c r="A8" s="4" t="inlineStr">
        <is>
          <t>CAN 波特率</t>
        </is>
      </c>
      <c r="B8" s="6" t="inlineStr">
        <is>
          <t>500 kbit/s</t>
        </is>
      </c>
      <c r="C8" s="14" t="inlineStr"/>
    </row>
    <row r="9" ht="22" customHeight="1">
      <c r="A9" s="4" t="inlineStr">
        <is>
          <t>终端电阻</t>
        </is>
      </c>
      <c r="B9" s="6" t="inlineStr"/>
      <c r="C9" s="5" t="inlineStr">
        <is>
          <t>样件内 / 外置 120 Ω</t>
        </is>
      </c>
    </row>
    <row r="10" ht="22" customHeight="1">
      <c r="A10" s="4" t="inlineStr">
        <is>
          <t>诊断地址</t>
        </is>
      </c>
      <c r="B10" s="6" t="inlineStr"/>
      <c r="C10" s="14" t="inlineStr">
        <is>
          <t>0xXX</t>
        </is>
      </c>
    </row>
    <row r="11" ht="22" customHeight="1">
      <c r="A11" s="4" t="inlineStr">
        <is>
          <t>诊断请求 ID</t>
        </is>
      </c>
      <c r="B11" s="6" t="inlineStr"/>
      <c r="C11" s="5" t="inlineStr"/>
    </row>
    <row r="12" ht="22" customHeight="1">
      <c r="A12" s="4" t="inlineStr">
        <is>
          <t>诊断响应 ID</t>
        </is>
      </c>
      <c r="B12" s="6" t="inlineStr"/>
      <c r="C12" s="14" t="inlineStr"/>
    </row>
    <row r="13" ht="22" customHeight="1">
      <c r="A13" s="4" t="inlineStr">
        <is>
          <t>安全访问等级</t>
        </is>
      </c>
      <c r="B13" s="6" t="inlineStr"/>
      <c r="C13" s="5" t="inlineStr">
        <is>
          <t>Level xx</t>
        </is>
      </c>
    </row>
    <row r="14" ht="22" customHeight="1">
      <c r="A14" s="4" t="inlineStr">
        <is>
          <t>禁止事项</t>
        </is>
      </c>
      <c r="B14" s="19" t="inlineStr">
        <is>
          <t>不得用 J-Link 擦写已锁定样件；不得改回开发态后仍按 3-2-3 使用</t>
        </is>
      </c>
      <c r="C14" s="14" t="inlineStr">
        <is>
          <t>勿删</t>
        </is>
      </c>
    </row>
  </sheetData>
  <autoFilter ref="A3:C3"/>
  <mergeCells count="2">
    <mergeCell ref="A1:C1"/>
    <mergeCell ref="A2:C2"/>
  </mergeCells>
  <pageMargins left="0.5" right="0.5" top="0.6" bottom="0.6" header="0.25" footer="0.25"/>
  <pageSetup orientation="portrait" paperSize="9" fitToHeight="0" fitToWidth="1"/>
  <headerFooter>
    <oddHeader>&amp;LFAN_F-CS-200  样件状态说明&amp;RCIA CS100120-045C  3-2-3  内部</oddHeader>
    <oddFooter>&amp;L07-连接参数&amp;R第 &amp;P 页 / 共 &amp;N 页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0" customWidth="1" min="3" max="3"/>
    <col width="36" customWidth="1" min="4" max="4"/>
  </cols>
  <sheetData>
    <row r="1" ht="24" customHeight="1">
      <c r="A1" s="10" t="inlineStr">
        <is>
          <t>表9  随附资料</t>
        </is>
      </c>
    </row>
    <row r="2" ht="16" customHeight="1">
      <c r="A2" s="11" t="inlineStr">
        <is>
          <t>与样件一并提交。</t>
        </is>
      </c>
    </row>
    <row r="3" ht="28" customHeight="1">
      <c r="A3" s="3" t="inlineStr">
        <is>
          <t>序号</t>
        </is>
      </c>
      <c r="B3" s="3" t="inlineStr">
        <is>
          <t>资料</t>
        </is>
      </c>
      <c r="C3" s="3" t="inlineStr">
        <is>
          <t>有无</t>
        </is>
      </c>
      <c r="D3" s="3" t="inlineStr">
        <is>
          <t>文件名 / 备注</t>
        </is>
      </c>
    </row>
    <row r="4" ht="22" customHeight="1">
      <c r="A4" s="15" t="inlineStr">
        <is>
          <t>1</t>
        </is>
      </c>
      <c r="B4" s="14" t="inlineStr">
        <is>
          <t>本文件《样件状态说明》Excel</t>
        </is>
      </c>
      <c r="C4" s="15" t="inlineStr">
        <is>
          <t>有</t>
        </is>
      </c>
      <c r="D4" s="6" t="inlineStr">
        <is>
          <t>FAN_F-CS-200_样件状态说明.xlsx</t>
        </is>
      </c>
    </row>
    <row r="5" ht="22" customHeight="1">
      <c r="A5" s="16" t="inlineStr">
        <is>
          <t>2</t>
        </is>
      </c>
      <c r="B5" s="5" t="inlineStr">
        <is>
          <t>发布安全检查表（FAN_F-CS-020 附录 A）签字件</t>
        </is>
      </c>
      <c r="C5" s="12" t="inlineStr"/>
      <c r="D5" s="6" t="inlineStr"/>
    </row>
    <row r="6" ht="22" customHeight="1">
      <c r="A6" s="15" t="inlineStr">
        <is>
          <t>3</t>
        </is>
      </c>
      <c r="B6" s="14" t="inlineStr">
        <is>
          <t>上电与针脚 / 线束说明或接口图</t>
        </is>
      </c>
      <c r="C6" s="12" t="inlineStr"/>
      <c r="D6" s="6" t="inlineStr"/>
    </row>
    <row r="7" ht="22" customHeight="1">
      <c r="A7" s="16" t="inlineStr">
        <is>
          <t>4</t>
        </is>
      </c>
      <c r="B7" s="5" t="inlineStr">
        <is>
          <t>UDS 服务 / DID 详细列表（可与表5合并）</t>
        </is>
      </c>
      <c r="C7" s="12" t="inlineStr"/>
      <c r="D7" s="6" t="inlineStr"/>
    </row>
    <row r="8" ht="22" customHeight="1">
      <c r="A8" s="15" t="inlineStr">
        <is>
          <t>5</t>
        </is>
      </c>
      <c r="B8" s="14" t="inlineStr">
        <is>
          <t>软件版本说明 Release note</t>
        </is>
      </c>
      <c r="C8" s="12" t="inlineStr"/>
      <c r="D8" s="6" t="inlineStr"/>
    </row>
    <row r="9" ht="22" customHeight="1">
      <c r="A9" s="16" t="inlineStr">
        <is>
          <t>6</t>
        </is>
      </c>
      <c r="B9" s="5" t="inlineStr">
        <is>
          <t>JTAG 锁定验证记录</t>
        </is>
      </c>
      <c r="C9" s="12" t="inlineStr"/>
      <c r="D9" s="6" t="inlineStr"/>
    </row>
    <row r="10" ht="22" customHeight="1">
      <c r="A10" s="15" t="inlineStr">
        <is>
          <t>7</t>
        </is>
      </c>
      <c r="B10" s="14" t="inlineStr">
        <is>
          <t>（可增行）</t>
        </is>
      </c>
      <c r="C10" s="12" t="inlineStr"/>
      <c r="D10" s="6" t="inlineStr"/>
    </row>
  </sheetData>
  <autoFilter ref="A3:D3"/>
  <mergeCells count="2">
    <mergeCell ref="A1:D1"/>
    <mergeCell ref="A2:D2"/>
  </mergeCells>
  <conditionalFormatting sqref="C4:C10">
    <cfRule type="cellIs" priority="1" operator="equal" dxfId="0">
      <formula>"是"</formula>
    </cfRule>
    <cfRule type="cellIs" priority="2" operator="equal" dxfId="1">
      <formula>"否"</formula>
    </cfRule>
    <cfRule type="cellIs" priority="3" operator="equal" dxfId="2">
      <formula>"N/A"</formula>
    </cfRule>
    <cfRule type="cellIs" priority="4" operator="equal" dxfId="0">
      <formula>"有"</formula>
    </cfRule>
    <cfRule type="cellIs" priority="5" operator="equal" dxfId="1">
      <formula>"无"</formula>
    </cfRule>
    <cfRule type="cellIs" priority="6" operator="equal" dxfId="0">
      <formula>"开启"</formula>
    </cfRule>
    <cfRule type="cellIs" priority="7" operator="equal" dxfId="2">
      <formula>"关闭"</formula>
    </cfRule>
    <cfRule type="cellIs" priority="8" operator="equal" dxfId="3">
      <formula>"预控"</formula>
    </cfRule>
    <cfRule type="cellIs" priority="9" operator="equal" dxfId="0">
      <formula>"已确认"</formula>
    </cfRule>
    <cfRule type="cellIs" priority="10" operator="equal" dxfId="0">
      <formula>"已落实"</formula>
    </cfRule>
    <cfRule type="cellIs" priority="11" operator="equal" dxfId="1">
      <formula>"未落实"</formula>
    </cfRule>
    <cfRule type="cellIs" priority="12" operator="equal" dxfId="0">
      <formula>"生产"</formula>
    </cfRule>
    <cfRule type="cellIs" priority="13" operator="equal" dxfId="1">
      <formula>"开发"</formula>
    </cfRule>
  </conditionalFormatting>
  <dataValidations count="1">
    <dataValidation sqref="C4:C10" showDropDown="0" showInputMessage="0" showErrorMessage="0" allowBlank="1" errorTitle="无效输入" error="请从下拉列表选择" promptTitle="有无" prompt="请选择" type="list">
      <formula1>"有,无"</formula1>
    </dataValidation>
  </dataValidations>
  <pageMargins left="0.5" right="0.5" top="0.6" bottom="0.6" header="0.25" footer="0.25"/>
  <pageSetup orientation="portrait" paperSize="9" fitToHeight="0" fitToWidth="1"/>
  <headerFooter>
    <oddHeader>&amp;LFAN_F-CS-200  样件状态说明&amp;RCIA CS100120-045C  3-2-3  内部</oddHeader>
    <oddFooter>&amp;L08-随附资料&amp;R第 &amp;P 页 / 共 &amp;N 页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4" customHeight="1">
      <c r="A1" s="10" t="inlineStr">
        <is>
          <t>表10  声明与签署</t>
        </is>
      </c>
    </row>
    <row r="2" ht="16" customHeight="1">
      <c r="A2" s="11" t="inlineStr"/>
    </row>
    <row r="3" ht="20" customHeight="1">
      <c r="A3" s="20" t="inlineStr">
        <is>
          <t>供应商声明：本批 3-2-3 样件按“03-连续生产状态检查”处于连续生产状态；未保留测试账号、测试密钥、测试口令或未关闭的开发接口。TARA 新增中高风险项将在约定节点更新样件状态并书面通知福田。</t>
        </is>
      </c>
      <c r="B3" s="21" t="n"/>
      <c r="C3" s="21" t="n"/>
      <c r="D3" s="21" t="n"/>
    </row>
    <row r="4" ht="20" customHeight="1">
      <c r="A4" s="21" t="n"/>
      <c r="B4" s="21" t="n"/>
      <c r="C4" s="21" t="n"/>
      <c r="D4" s="21" t="n"/>
    </row>
    <row r="5" ht="20" customHeight="1">
      <c r="A5" s="21" t="n"/>
      <c r="B5" s="21" t="n"/>
      <c r="C5" s="21" t="n"/>
      <c r="D5" s="21" t="n"/>
    </row>
    <row r="7" ht="28" customHeight="1">
      <c r="A7" s="3" t="inlineStr">
        <is>
          <t>角色</t>
        </is>
      </c>
      <c r="B7" s="3" t="inlineStr">
        <is>
          <t>姓名</t>
        </is>
      </c>
      <c r="C7" s="3" t="inlineStr">
        <is>
          <t>签字（纸质栏 / 电子章）</t>
        </is>
      </c>
      <c r="D7" s="3" t="inlineStr">
        <is>
          <t>日期</t>
        </is>
      </c>
    </row>
    <row r="8" ht="28" customHeight="1">
      <c r="A8" s="4" t="inlineStr">
        <is>
          <t>编制</t>
        </is>
      </c>
      <c r="B8" s="6" t="inlineStr"/>
      <c r="C8" s="6" t="inlineStr"/>
      <c r="D8" s="6" t="inlineStr"/>
    </row>
    <row r="9" ht="28" customHeight="1">
      <c r="A9" s="4" t="inlineStr">
        <is>
          <t>网络安全审核</t>
        </is>
      </c>
      <c r="B9" s="6" t="inlineStr"/>
      <c r="C9" s="6" t="inlineStr"/>
      <c r="D9" s="6" t="inlineStr"/>
    </row>
    <row r="10" ht="28" customHeight="1">
      <c r="A10" s="4" t="inlineStr">
        <is>
          <t>批准</t>
        </is>
      </c>
      <c r="B10" s="6" t="inlineStr"/>
      <c r="C10" s="6" t="inlineStr"/>
      <c r="D10" s="6" t="inlineStr"/>
    </row>
    <row r="11" ht="28" customHeight="1">
      <c r="A11" s="4" t="inlineStr">
        <is>
          <t>福田接收（如需要）</t>
        </is>
      </c>
      <c r="B11" s="6" t="inlineStr"/>
      <c r="C11" s="6" t="inlineStr"/>
      <c r="D11" s="6" t="inlineStr"/>
    </row>
    <row r="13">
      <c r="A13" s="13" t="inlineStr">
        <is>
          <t>打印本表签字后扫描，与 Excel 电子档一并提交。</t>
        </is>
      </c>
    </row>
  </sheetData>
  <autoFilter ref="A7:D7"/>
  <mergeCells count="3">
    <mergeCell ref="A1:D1"/>
    <mergeCell ref="A3:D5"/>
    <mergeCell ref="A2:D2"/>
  </mergeCells>
  <pageMargins left="0.5" right="0.5" top="0.6" bottom="0.6" header="0.25" footer="0.25"/>
  <pageSetup orientation="portrait" paperSize="9" fitToHeight="0" fitToWidth="1"/>
  <headerFooter>
    <oddHeader>&amp;LFAN_F-CS-200  样件状态说明&amp;RCIA CS100120-045C  3-2-3  内部</oddHeader>
    <oddFooter>&amp;L09-声明与签署&amp;R第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2026-09-10T01:27:46Z</dcterms:created>
  <dcterms:modified xmlns:dcterms="http://purl.org/dc/terms/" xmlns:xsi="http://www.w3.org/2001/XMLSchema-instance" xsi:type="dcterms:W3CDTF">2026-09-10T01:27:46Z</dcterms:modified>
</cp:coreProperties>
</file>