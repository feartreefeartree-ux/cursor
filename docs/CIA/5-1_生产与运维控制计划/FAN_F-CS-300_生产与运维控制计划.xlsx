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与运维控制计划" sheetId="1" state="visible" r:id="rId1"/>
  </sheets>
  <definedNames>
    <definedName name="_xlnm.Print_Area" localSheetId="0">'生产与运维控制计划'!$A$1:$F$22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8FBFF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6" customWidth="1" min="4" max="4"/>
    <col width="10" customWidth="1" min="5" max="5"/>
    <col width="22" customWidth="1" min="6" max="6"/>
  </cols>
  <sheetData>
    <row r="1" ht="24" customHeight="1">
      <c r="A1" s="1" t="inlineStr">
        <is>
          <t>FAN_F 高压风扇控制器  ·  生产与运维控制计划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CIA CS100120-045C 条款 5-1    密级：普通商密    确保量产/售后不引入新漏洞，且软硬件版本一致</t>
        </is>
      </c>
      <c r="B2" s="2" t="n"/>
      <c r="C2" s="2" t="n"/>
      <c r="D2" s="2" t="n"/>
      <c r="E2" s="2" t="n"/>
      <c r="F2" s="2" t="n"/>
    </row>
    <row r="3">
      <c r="A3" s="4" t="inlineStr">
        <is>
          <t>一、文件信息</t>
        </is>
      </c>
      <c r="B3" s="5" t="n"/>
      <c r="C3" s="5" t="n"/>
      <c r="D3" s="5" t="n"/>
      <c r="E3" s="5" t="n"/>
      <c r="F3" s="5" t="n"/>
    </row>
    <row r="4" ht="20" customHeight="1">
      <c r="A4" s="6" t="inlineStr">
        <is>
          <t>供应商</t>
        </is>
      </c>
      <c r="B4" s="7" t="inlineStr"/>
      <c r="C4" s="6" t="inlineStr">
        <is>
          <t>产品 / 零件号</t>
        </is>
      </c>
      <c r="D4" s="7" t="inlineStr">
        <is>
          <t xml:space="preserve">FAN_F / </t>
        </is>
      </c>
      <c r="E4" s="6" t="inlineStr">
        <is>
          <t>版本 / 日期</t>
        </is>
      </c>
      <c r="F4" s="7" t="inlineStr">
        <is>
          <t xml:space="preserve">V1.0 / </t>
        </is>
      </c>
    </row>
    <row r="6">
      <c r="A6" s="4" t="inlineStr">
        <is>
          <t>二、控制项（开发后阶段网络安全要求在产线与售后落地）</t>
        </is>
      </c>
      <c r="B6" s="5" t="n"/>
      <c r="C6" s="5" t="n"/>
      <c r="D6" s="5" t="n"/>
      <c r="E6" s="5" t="n"/>
      <c r="F6" s="5" t="n"/>
    </row>
    <row r="7" ht="20" customHeight="1">
      <c r="A7" s="8" t="inlineStr">
        <is>
          <t>序号</t>
        </is>
      </c>
      <c r="B7" s="8" t="inlineStr">
        <is>
          <t>控制项</t>
        </is>
      </c>
      <c r="C7" s="8" t="inlineStr">
        <is>
          <t>做法</t>
        </is>
      </c>
      <c r="D7" s="8" t="inlineStr">
        <is>
          <t>责任</t>
        </is>
      </c>
      <c r="E7" s="8" t="inlineStr">
        <is>
          <t>结果</t>
        </is>
      </c>
      <c r="F7" s="8" t="inlineStr">
        <is>
          <t>记录 / 备注</t>
        </is>
      </c>
    </row>
    <row r="8" ht="28" customHeight="1">
      <c r="A8" s="9" t="inlineStr">
        <is>
          <t>1</t>
        </is>
      </c>
      <c r="B8" s="6" t="inlineStr">
        <is>
          <t>只烧已发布量产软件</t>
        </is>
      </c>
      <c r="C8" s="10" t="inlineStr">
        <is>
          <t>产线工装只能从受控发布目录取包；禁止烧开发版、带后门或未签字版本</t>
        </is>
      </c>
      <c r="D8" s="10" t="inlineStr">
        <is>
          <t>生产 / 配置管理</t>
        </is>
      </c>
      <c r="E8" s="11" t="inlineStr"/>
      <c r="F8" s="7" t="inlineStr"/>
    </row>
    <row r="9" ht="28" customHeight="1">
      <c r="A9" s="12" t="inlineStr">
        <is>
          <t>2</t>
        </is>
      </c>
      <c r="B9" s="6" t="inlineStr">
        <is>
          <t>版本一致</t>
        </is>
      </c>
      <c r="C9" s="13" t="inlineStr">
        <is>
          <t>每件记录 HW、SW、校验和，并能用 UDS 读出核对；与福田认可基线一致</t>
        </is>
      </c>
      <c r="D9" s="13" t="inlineStr">
        <is>
          <t>生产 / 质量</t>
        </is>
      </c>
      <c r="E9" s="11" t="inlineStr"/>
      <c r="F9" s="7" t="inlineStr"/>
    </row>
    <row r="10" ht="28" customHeight="1">
      <c r="A10" s="9" t="inlineStr">
        <is>
          <t>3</t>
        </is>
      </c>
      <c r="B10" s="6" t="inlineStr">
        <is>
          <t>只灌生产密钥</t>
        </is>
      </c>
      <c r="C10" s="10" t="inlineStr">
        <is>
          <t>0x27 / 刷写验签用生产密钥；开发 Key 不得上线</t>
        </is>
      </c>
      <c r="D10" s="10" t="inlineStr">
        <is>
          <t>生产 / 网络安全</t>
        </is>
      </c>
      <c r="E10" s="11" t="inlineStr"/>
      <c r="F10" s="7" t="inlineStr"/>
    </row>
    <row r="11" ht="28" customHeight="1">
      <c r="A11" s="12" t="inlineStr">
        <is>
          <t>4</t>
        </is>
      </c>
      <c r="B11" s="6" t="inlineStr">
        <is>
          <t>下线锁定调试口</t>
        </is>
      </c>
      <c r="C11" s="13" t="inlineStr">
        <is>
          <t>EOL 将 JTAG/SWD 锁定（FSEC Secure），抽检不可读 Flash</t>
        </is>
      </c>
      <c r="D11" s="13" t="inlineStr">
        <is>
          <t>生产 / 工艺</t>
        </is>
      </c>
      <c r="E11" s="11" t="inlineStr"/>
      <c r="F11" s="7" t="inlineStr"/>
    </row>
    <row r="12" ht="28" customHeight="1">
      <c r="A12" s="9" t="inlineStr">
        <is>
          <t>5</t>
        </is>
      </c>
      <c r="B12" s="6" t="inlineStr">
        <is>
          <t>关闭开发访问</t>
        </is>
      </c>
      <c r="C12" s="10" t="inlineStr">
        <is>
          <t>FreeMASTER、测试 DID、后门、调试串口在量产件关闭</t>
        </is>
      </c>
      <c r="D12" s="10" t="inlineStr">
        <is>
          <t>研发 / 生产</t>
        </is>
      </c>
      <c r="E12" s="11" t="inlineStr"/>
      <c r="F12" s="7" t="inlineStr"/>
    </row>
    <row r="13" ht="28" customHeight="1">
      <c r="A13" s="12" t="inlineStr">
        <is>
          <t>6</t>
        </is>
      </c>
      <c r="B13" s="6" t="inlineStr">
        <is>
          <t>工装与权限</t>
        </is>
      </c>
      <c r="C13" s="13" t="inlineStr">
        <is>
          <t>烧写工装专用账号、最小权限；人员变动当日收回；操作留日志</t>
        </is>
      </c>
      <c r="D13" s="13" t="inlineStr">
        <is>
          <t>IT / 生产</t>
        </is>
      </c>
      <c r="E13" s="11" t="inlineStr"/>
      <c r="F13" s="7" t="inlineStr"/>
    </row>
    <row r="14" ht="28" customHeight="1">
      <c r="A14" s="9" t="inlineStr">
        <is>
          <t>7</t>
        </is>
      </c>
      <c r="B14" s="6" t="inlineStr">
        <is>
          <t>变更受控</t>
        </is>
      </c>
      <c r="C14" s="10" t="inlineStr">
        <is>
          <t>软件/密钥/工装变更须评估网络安全影响（对齐 CIA 6-2-1）后再上线</t>
        </is>
      </c>
      <c r="D14" s="10" t="inlineStr">
        <is>
          <t>研发 / 质量</t>
        </is>
      </c>
      <c r="E14" s="11" t="inlineStr"/>
      <c r="F14" s="7" t="inlineStr"/>
    </row>
    <row r="15" ht="28" customHeight="1">
      <c r="A15" s="12" t="inlineStr">
        <is>
          <t>8</t>
        </is>
      </c>
      <c r="B15" s="6" t="inlineStr">
        <is>
          <t>售后同基线</t>
        </is>
      </c>
      <c r="C15" s="13" t="inlineStr">
        <is>
          <t>服务站/返修刷写使用同一发布包与同一套生产密钥，禁止用开发工具改回开发态</t>
        </is>
      </c>
      <c r="D15" s="13" t="inlineStr">
        <is>
          <t>售后 / 质量</t>
        </is>
      </c>
      <c r="E15" s="11" t="inlineStr"/>
      <c r="F15" s="7" t="inlineStr"/>
    </row>
    <row r="16" ht="22" customHeight="1">
      <c r="A16" s="14" t="inlineStr">
        <is>
          <t>结论</t>
        </is>
      </c>
      <c r="B16" s="15">
        <f>IF(COUNTIF(E8:E15,"否")&gt;0,"不合格：存在未落实项",IF(COUNTBLANK(E8:E15)&gt;0,"未填完","合格：控制项已落实"))</f>
        <v/>
      </c>
      <c r="C16" s="16" t="n"/>
      <c r="D16" s="16" t="n"/>
      <c r="E16" s="16" t="n"/>
      <c r="F16" s="16" t="n"/>
    </row>
    <row r="18">
      <c r="A18" s="4" t="inlineStr">
        <is>
          <t>三、声明与签署    量产及售后按上表执行，保证不引入新漏洞、版本与发布基线一致。</t>
        </is>
      </c>
      <c r="B18" s="5" t="n"/>
      <c r="C18" s="5" t="n"/>
      <c r="D18" s="5" t="n"/>
      <c r="E18" s="5" t="n"/>
      <c r="F18" s="5" t="n"/>
    </row>
    <row r="19">
      <c r="A19" s="8" t="inlineStr">
        <is>
          <t>角色</t>
        </is>
      </c>
      <c r="B19" s="8" t="inlineStr">
        <is>
          <t>姓名</t>
        </is>
      </c>
      <c r="C19" s="8" t="inlineStr">
        <is>
          <t>签字</t>
        </is>
      </c>
      <c r="D19" s="8" t="inlineStr">
        <is>
          <t>日期</t>
        </is>
      </c>
      <c r="E19" s="17" t="n"/>
      <c r="F19" s="18" t="n"/>
    </row>
    <row r="20" ht="22" customHeight="1">
      <c r="A20" s="14" t="inlineStr">
        <is>
          <t>编制</t>
        </is>
      </c>
      <c r="B20" s="11" t="inlineStr"/>
      <c r="C20" s="11" t="inlineStr"/>
      <c r="D20" s="11" t="inlineStr"/>
      <c r="E20" s="17" t="n"/>
      <c r="F20" s="18" t="n"/>
    </row>
    <row r="21" ht="22" customHeight="1">
      <c r="A21" s="14" t="inlineStr">
        <is>
          <t>审核</t>
        </is>
      </c>
      <c r="B21" s="11" t="inlineStr"/>
      <c r="C21" s="11" t="inlineStr"/>
      <c r="D21" s="11" t="inlineStr"/>
      <c r="E21" s="17" t="n"/>
      <c r="F21" s="18" t="n"/>
    </row>
    <row r="22" ht="22" customHeight="1">
      <c r="A22" s="14" t="inlineStr">
        <is>
          <t>批准</t>
        </is>
      </c>
      <c r="B22" s="11" t="inlineStr"/>
      <c r="C22" s="11" t="inlineStr"/>
      <c r="D22" s="11" t="inlineStr"/>
      <c r="E22" s="17" t="n"/>
      <c r="F22" s="18" t="n"/>
    </row>
  </sheetData>
  <mergeCells count="10">
    <mergeCell ref="D21:F21"/>
    <mergeCell ref="A2:F2"/>
    <mergeCell ref="D19:F19"/>
    <mergeCell ref="B16:F16"/>
    <mergeCell ref="A1:F1"/>
    <mergeCell ref="D22:F22"/>
    <mergeCell ref="A6:F6"/>
    <mergeCell ref="A18:F18"/>
    <mergeCell ref="A3:F3"/>
    <mergeCell ref="D20:F20"/>
  </mergeCells>
  <conditionalFormatting sqref="E8:E15">
    <cfRule type="cellIs" priority="1" operator="equal" dxfId="0">
      <formula>"是"</formula>
    </cfRule>
    <cfRule type="cellIs" priority="2" operator="equal" dxfId="1">
      <formula>"否"</formula>
    </cfRule>
    <cfRule type="cellIs" priority="3" operator="equal" dxfId="2">
      <formula>"N/A"</formula>
    </cfRule>
  </conditionalFormatting>
  <conditionalFormatting sqref="B16">
    <cfRule type="expression" priority="4" dxfId="0">
      <formula>ISNUMBER(SEARCH("合格：",B16))</formula>
    </cfRule>
    <cfRule type="expression" priority="5" dxfId="1">
      <formula>ISNUMBER(SEARCH("不合格",B16))</formula>
    </cfRule>
  </conditionalFormatting>
  <dataValidations count="1">
    <dataValidation sqref="E8:E15" showDropDown="0" showInputMessage="0" showErrorMessage="0" allowBlank="1" type="list">
      <formula1>"是,否,N/A"</formula1>
    </dataValidation>
  </dataValidations>
  <pageMargins left="0.45" right="0.45" top="0.5" bottom="0.5" header="0.5" footer="0.5"/>
  <pageSetup orientation="landscape" paperSize="9" fitToHeight="1" fitToWidth="1"/>
  <headerFooter>
    <oddHeader>&amp;LFAN_F-CS-300&amp;RCIA CS100120-045C  5-1  普通商密</oddHeader>
    <oddFooter>&amp;C黄色格填写，结果列下拉选择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2026-09-10T04:52:20Z</dcterms:created>
  <dcterms:modified xmlns:dcterms="http://purl.org/dc/terms/" xmlns:xsi="http://www.w3.org/2001/XMLSchema-instance" xsi:type="dcterms:W3CDTF">2026-09-10T04:52:20Z</dcterms:modified>
</cp:coreProperties>
</file>